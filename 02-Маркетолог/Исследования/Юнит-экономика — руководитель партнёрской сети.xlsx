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Модель" sheetId="1" r:id="rId1"/>
    <sheet name="Сценарии" sheetId="2" r:id="rId2"/>
    <sheet name="Справка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 standalone="yes"?><worksheet xmlns="http://schemas.openxmlformats.org/spreadsheetml/2006/main"><sheetData><row r="1"><c r="A1" t="inlineStr"><is><t>Юнит-экономика Telotron · руководитель партнёрской сети</t></is></c></row><row r="2"><c r="A2" t="inlineStr"><is><t>Маржа компании = MRR − выплаты L1/L2/L3 − % руководителю (из маржи, не из % тренеров)</t></is></c></row><row r="4"><c r="A4" t="inlineStr"><is><t>1. ТАРИФЫ И СТАВКИ ПАРТНЁРКИ</t></is></c></row><row r="5"><c r="A5" t="inlineStr"><is><t>Цена Профи, ₽/мес</t></is></c><c r="B5"><v>5000</v></c></row><row r="6"><c r="A6" t="inlineStr"><is><t>Цена Максимальный, ₽/мес</t></is></c><c r="B6"><v>10000</v></c></row><row r="7"><c r="A7" t="inlineStr"><is><t>Доля L1 от базы пополнения</t></is></c><c r="B7"><v>0.2</v></c></row><row r="8"><c r="A8" t="inlineStr"><is><t>Доля L2 (от базы L2-уровня)</t></is></c><c r="B8"><v>0.05</v></c></row><row r="9"><c r="A9" t="inlineStr"><is><t>Доля L3 (от базы L3-уровня)</t></is></c><c r="B9"><v>0.025</v></c></row><row r="11"><c r="A11" t="inlineStr"><is><t>2. МАСШТАБ (ввод)</t></is></c></row><row r="12"><c r="A12" t="inlineStr"><is><t>Всего платящих тренеров</t></is></c><c r="B12"><v>100</v></c></row><row r="13"><c r="A13" t="inlineStr"><is><t>Доля платящих через партнёрскую сеть (0–1)</t></is></c><c r="B13"><v>0.7</v></c></row><row r="14"><c r="A14" t="inlineStr"><is><t>Доля Профи среди платящих (0–1)</t></is></c><c r="B14"><v>0.85</v></c></row><row r="15"><c r="A15" t="inlineStr"><is><t>Доля Макс среди платящих (0–1)</t></is></c><c r="B15"><v>0.15</v></c></row><row r="16"><c r="A16" t="inlineStr"><is><t>Партнёров с договором (L3)</t></is></c><c r="B16"><v>10</v></c></row><row r="17"><c r="A17" t="inlineStr"><is><t>Ср. платящих L1 на партнёра</t></is></c><c r="B17"><v>6</v></c></row><row r="18"><c r="A18" t="inlineStr"><is><t>Всего платящих на уровне L2 (в сети)</t></is></c><c r="B18"><v>15</v></c></row><row r="19"><c r="A19" t="inlineStr"><is><t>Всего платящих на уровне L3 (в сети)</t></is></c><c r="B19"><v>5</v></c></row><row r="20"><c r="A20" t="inlineStr"><is><t>Ср. абонплата партнёра, ₽ (обычно Профи)</t></is></c><c r="B20"><v>5000</v></c></row><row r="21"><c r="A21" t="inlineStr"><is><t>Ставка руководителя сети (0–1)</t></is></c><c r="B21"><v>0.07</v></c></row><row r="23"><c r="A23" t="inlineStr"><is><t>3. ПРОМЕЖУТОЧНЫЕ</t></is></c></row><row r="24"><c r="A24" t="inlineStr"><is><t>Средний MRR на платящего, ₽</t></is></c><c r="B24"><f>B14*B5+B15*B6</f></c></row><row r="25"><c r="A25" t="inlineStr"><is><t>MRR всего, ₽/мес</t></is></c><c r="B25"><f>B12*B24</f></c></row><row r="26"><c r="A26" t="inlineStr"><is><t>MRR через партнёрскую сеть, ₽/мес</t></is></c><c r="B26"><f>B12*B13*B24</f></c></row><row r="27"><c r="A27" t="inlineStr"><is><t>Платящих L1 (расчётное, min)</t></is></c><c r="B27"><f>MIN(B16*B17,B12*B13)</f></c></row><row r="28"><c r="A28" t="inlineStr"><is><t>MRR по ветке L1, ₽</t></is></c><c r="B28"><f>B27*B24</f></c></row><row r="30"><c r="A30" t="inlineStr"><is><t>4. ВЫПЛАТЫ ПАРТНЁРАМ (тренерам)</t></is></c></row><row r="31"><c r="A31" t="inlineStr"><is><t>Начисления L1, ₽/мес</t></is></c><c r="B31"><f>B28*B7</f></c></row><row r="32"><c r="A32" t="inlineStr"><is><t>Начисления L2, ₽/мес</t></is></c><c r="B32"><f>B18*B24*B8</f></c></row><row r="33"><c r="A33" t="inlineStr"><is><t>Начисления L3, ₽/мес</t></is></c><c r="B33"><f>B19*B24*B9</f></c></row><row r="34"><c r="A34" t="inlineStr"><is><t>Итого партнёрские начисления, ₽/мес</t></is></c><c r="B34"><f>SUM(B31:B33)</f></c></row><row r="36"><c r="A36" t="inlineStr"><is><t>5. ОБОРОТ ПАРТНЁРКИ (база для % руководителя)</t></is></c></row><row r="37"><c r="A37" t="inlineStr"><is><t>Ср. начисления на 1 партнёра, ₽</t></is></c><c r="B37"><f>IF(B16=0,0,B34/B16)</f></c></row><row r="38"><c r="A38" t="inlineStr"><is><t>Ср. оборот 1 партнёра = max(0; начисл. − абонп.)</t></is></c><c r="B38"><f>MAX(0,B37-B20)</f></c></row><row r="39"><c r="A39" t="inlineStr"><is><t>Оборот сети (сумма по партнёрам), ₽/мес</t></is></c><c r="B39"><f>B16*B38</f></c></row><row r="40"><c r="A40" t="inlineStr"><is><t>Вознаграждение руководителя, ₽/мес</t></is></c><c r="B40"><f>B39*B21</f></c></row><row r="42"><c r="A42" t="inlineStr"><is><t>6. МАРЖА КОМПАНИИ</t></is></c></row><row r="43"><c r="A43" t="inlineStr"><is><t>MRR вне сети (прямой вход), ₽</t></is></c><c r="B43"><f>B25-B26</f></c></row><row r="44"><c r="A44" t="inlineStr"><is><t>Маржа на сетевой MRR, ₽</t></is></c><c r="B44"><f>B26-B34-B40</f></c></row><row r="45"><c r="A45" t="inlineStr"><is><t>Маржа на прямом MRR, ₽</t></is></c><c r="B45"><f>B43</f></c></row><row r="46"><c r="A46" t="inlineStr"><is><t>Маржа компании ИТОГО, ₽/мес</t></is></c><c r="B46"><f>B44+B45</f></c></row><row r="47"><c r="A47" t="inlineStr"><is><t>Маржа % от общего MRR</t></is></c><c r="B47"><f>IF(B25=0,0,B46/B25)</f></c></row><row r="48"><c r="A48" t="inlineStr"><is><t>Руководитель % от общего MRR</t></is></c><c r="B48"><f>IF(B25=0,0,B40/B25)</f></c></row><row r="49"><c r="A49" t="inlineStr"><is><t>Партнёрка % от общего MRR</t></is></c><c r="B49"><f>IF(B25=0,0,B34/B25)</f></c></row><row r="51"><c r="A51" t="inlineStr"><is><t>7. КОНТРОЛЬ</t></is></c></row><row r="52"><c r="A52" t="inlineStr"><is><t>Партнёров без «оборота» (начисл. &lt; абонп.)</t></is></c><c r="B52"><f>IF(B38=0,B16,IF(B37<B20,B16,0))</f></c></row><row r="53"><c r="A53" t="inlineStr"><is><t>Порог L1 для нуля оборота (только L1, Профи)</t></is></c><c r="B53"><f>IF(B24*B7=0,0,CEILING(B20/(B24*B7),1))</f></c></row></sheetData></worksheet>
</file>

<file path=xl/worksheets/sheet2.xml><?xml version="1.0" encoding="utf-8"?>
<worksheet xmlns="http://schemas.openxmlformats.org/spreadsheetml/2006/main">
  <sheetData>
    <row r="1">
      <c r="A1" t="inlineStr">
        <is>
          <t>Сценарии (меняйте жёлтые ячейки — столбцы B, D, F)</t>
        </is>
      </c>
    </row>
    <row r="2">
      <c r="A2" t="inlineStr">
        <is>
          <t>Параметр</t>
        </is>
      </c>
      <c r="B2" t="inlineStr">
        <is>
          <t>Ранний</t>
        </is>
      </c>
      <c r="D2" t="inlineStr">
        <is>
          <t>100 платников</t>
        </is>
      </c>
      <c r="F2" t="inlineStr">
        <is>
          <t>Амбиция</t>
        </is>
      </c>
    </row>
    <row r="4">
      <c r="A4" t="inlineStr">
        <is>
          <t>Платящих тренеров</t>
        </is>
      </c>
      <c r="B4">
        <v>30</v>
      </c>
      <c r="D4">
        <v>100</v>
      </c>
      <c r="F4">
        <v>200</v>
      </c>
    </row>
    <row r="5">
      <c r="A5" t="inlineStr">
        <is>
          <t>Доля через сеть</t>
        </is>
      </c>
      <c r="B5">
        <v>0.5</v>
      </c>
      <c r="D5">
        <v>0.7</v>
      </c>
      <c r="F5">
        <v>0.8</v>
      </c>
    </row>
    <row r="6">
      <c r="A6" t="inlineStr">
        <is>
          <t>Партнёров с договором</t>
        </is>
      </c>
      <c r="B6">
        <v>3</v>
      </c>
      <c r="D6">
        <v>10</v>
      </c>
      <c r="F6">
        <v>20</v>
      </c>
    </row>
    <row r="7">
      <c r="A7" t="inlineStr">
        <is>
          <t>Ср. L1 / партнёр</t>
        </is>
      </c>
      <c r="B7">
        <v>4</v>
      </c>
      <c r="D7">
        <v>6</v>
      </c>
      <c r="F7">
        <v>8</v>
      </c>
    </row>
    <row r="8">
      <c r="A8" t="inlineStr">
        <is>
          <t>L2 платящих</t>
        </is>
      </c>
      <c r="B8">
        <v>5</v>
      </c>
      <c r="D8">
        <v>15</v>
      </c>
      <c r="F8">
        <v>40</v>
      </c>
    </row>
    <row r="9">
      <c r="A9" t="inlineStr">
        <is>
          <t>L3 платящих</t>
        </is>
      </c>
      <c r="B9">
        <v>2</v>
      </c>
      <c r="D9">
        <v>5</v>
      </c>
      <c r="F9">
        <v>15</v>
      </c>
    </row>
    <row r="10">
      <c r="A10" t="inlineStr">
        <is>
          <t>Ставка руководителя</t>
        </is>
      </c>
      <c r="B10">
        <v>0.05</v>
      </c>
      <c r="D10">
        <v>0.07</v>
      </c>
      <c r="F10">
        <v>0.1</v>
      </c>
    </row>
    <row r="12">
      <c r="A12" t="inlineStr">
        <is>
          <t>— константы (как на листе Модель) —</t>
        </is>
      </c>
    </row>
    <row r="13">
      <c r="A13" t="inlineStr">
        <is>
          <t>Цена Профи</t>
        </is>
      </c>
      <c r="B13">
        <v>5000</v>
      </c>
    </row>
    <row r="14">
      <c r="A14" t="inlineStr">
        <is>
          <t>Цена Макс</t>
        </is>
      </c>
      <c r="B14">
        <v>10000</v>
      </c>
    </row>
    <row r="15">
      <c r="A15" t="inlineStr">
        <is>
          <t>Доля Профи</t>
        </is>
      </c>
      <c r="B15">
        <v>0.85</v>
      </c>
    </row>
    <row r="16">
      <c r="A16" t="inlineStr">
        <is>
          <t>Доля Макс</t>
        </is>
      </c>
      <c r="B16">
        <v>0.15</v>
      </c>
    </row>
    <row r="17">
      <c r="A17" t="inlineStr">
        <is>
          <t>Абонплата партнёра</t>
        </is>
      </c>
      <c r="B17">
        <v>5000</v>
      </c>
    </row>
    <row r="18">
      <c r="A18" t="inlineStr">
        <is>
          <t>L1 / L2 / L3</t>
        </is>
      </c>
      <c r="B18">
        <v>0.2</v>
      </c>
      <c r="C18">
        <v>0.05</v>
      </c>
      <c r="D18">
        <v>0.025</v>
      </c>
    </row>
    <row r="20">
      <c r="A20" t="inlineStr">
        <is>
          <t>РЕЗУЛЬТАТ</t>
        </is>
      </c>
      <c r="B20" t="inlineStr">
        <is>
          <t>Ранний</t>
        </is>
      </c>
      <c r="D20" t="inlineStr">
        <is>
          <t>100 пл.</t>
        </is>
      </c>
      <c r="F20" t="inlineStr">
        <is>
          <t>Амбиция</t>
        </is>
      </c>
    </row>
    <row r="21">
      <c r="A21" t="inlineStr">
        <is>
          <t>MRR всего, ₽</t>
        </is>
      </c>
      <c r="C21">
        <f>B4*($B$15*$B$13+$B$16*$B$14)</f>
      </c>
      <c r="E21">
        <f>D4*($B$15*$B$13+$B$16*$B$14)</f>
      </c>
      <c r="G21">
        <f>F4*($B$15*$B$13+$B$16*$B$14)</f>
      </c>
    </row>
    <row r="22">
      <c r="A22" t="inlineStr">
        <is>
          <t>MRR сети, ₽</t>
        </is>
      </c>
      <c r="C22">
        <f>B4*B5*($B$15*$B$13+$B$16*$B$14)</f>
      </c>
      <c r="E22">
        <f>D4*D5*($B$15*$B$13+$B$16*$B$14)</f>
      </c>
      <c r="G22">
        <f>F4*F5*($B$15*$B$13+$B$16*$B$14)</f>
      </c>
    </row>
    <row r="23">
      <c r="A23" t="inlineStr">
        <is>
          <t>Партнёрские выплаты, ₽</t>
        </is>
      </c>
      <c r="C23">
        <f>MIN(B6*B7,B4*B5)*($B$15*$B$13+$B$16*$B$14)*$B$18+B8*($B$15*$B$13+$B$16*$B$14)*$C$18+B9*($B$15*$B$13+$B$16*$B$14)*$D$18</f>
      </c>
      <c r="E23">
        <f>MIN(D6*D7,D4*D5)*($B$15*$B$13+$B$16*$B$14)*$B$18+D8*($B$15*$B$13+$B$16*$B$14)*$C$18+D9*($B$15*$B$13+$B$16*$B$14)*$D$18</f>
      </c>
      <c r="G23">
        <f>MIN(F6*F7,F4*F5)*($B$15*$B$13+$B$16*$B$14)*$B$18+F8*($B$15*$B$13+$B$16*$B$14)*$C$18+F9*($B$15*$B$13+$B$16*$B$14)*$D$18</f>
      </c>
    </row>
    <row r="24">
      <c r="A24" t="inlineStr">
        <is>
          <t>Оборот сети, ₽</t>
        </is>
      </c>
      <c r="C24">
        <f>IF(B6=0,0,B6*MAX(0,C23/B6-$B$17))</f>
      </c>
      <c r="E24">
        <f>IF(D6=0,0,D6*MAX(0,E23/D6-$B$17))</f>
      </c>
      <c r="G24">
        <f>IF(F6=0,0,F6*MAX(0,G23/F6-$B$17))</f>
      </c>
    </row>
    <row r="25">
      <c r="A25" t="inlineStr">
        <is>
          <t>Руководитель, ₽</t>
        </is>
      </c>
      <c r="C25">
        <f>C24*B10</f>
      </c>
      <c r="E25">
        <f>E24*D10</f>
      </c>
      <c r="G25">
        <f>G24*F10</f>
      </c>
    </row>
    <row r="26">
      <c r="A26" t="inlineStr">
        <is>
          <t>Маржа компании, ₽</t>
        </is>
      </c>
      <c r="C26">
        <f>C21-C23-C25</f>
      </c>
      <c r="E26">
        <f>E21-E23-E25</f>
      </c>
      <c r="G26">
        <f>G21-G23-G25</f>
      </c>
    </row>
    <row r="27">
      <c r="A27" t="inlineStr">
        <is>
          <t>Маржа %</t>
        </is>
      </c>
      <c r="C27">
        <f>IF(C21=0,0,C26/C21)</f>
      </c>
      <c r="E27">
        <f>IF(E21=0,0,E26/E21)</f>
      </c>
      <c r="G27">
        <f>IF(G21=0,0,G26/G21)</f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Справка</t>
        </is>
      </c>
    </row>
    <row r="3">
      <c r="A3" t="inlineStr">
        <is>
          <t>Оборот партнёра P = max(0; L1+L2+L3 начисления P − абонплата P)</t>
        </is>
      </c>
    </row>
    <row r="4">
      <c r="A4" t="inlineStr">
        <is>
          <t>Оборот сети = Σ по всем партнёрам с договором</t>
        </is>
      </c>
    </row>
    <row r="5">
      <c r="A5" t="inlineStr">
        <is>
          <t>Руководитель = ставка × оборот сети (платит компания, не урезая L1/L2/L3)</t>
        </is>
      </c>
    </row>
    <row r="6">
      <c r="A6" t="inlineStr">
        <is>
          <t>Маржа = MRR − все партнёрские начисления − руководитель</t>
        </is>
      </c>
    </row>
    <row r="8">
      <c r="A8" t="inlineStr">
        <is>
          <t>Канон: модуль-партнерка L1 20%, L2 5%, L3 2,5%</t>
        </is>
      </c>
    </row>
    <row r="9">
      <c r="A9" t="inlineStr">
        <is>
          <t>Документ: 01-цели-этапа-пилот.md + решение директора 2026-06</t>
        </is>
      </c>
    </row>
    <row r="11">
      <c r="A11" t="inlineStr">
        <is>
          <t>Лист «Модель» — основной калькулятор. Меняйте синие ячейки столбца B.</t>
        </is>
      </c>
    </row>
    <row r="12">
      <c r="A12" t="inlineStr">
        <is>
          <t>Лист «Сценарии» — три колонки для сравнения.</t>
        </is>
      </c>
    </row>
  </sheetData>
</worksheet>
</file>